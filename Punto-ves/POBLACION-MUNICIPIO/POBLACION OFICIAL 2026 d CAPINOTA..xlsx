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ces\Pictures\"/>
    </mc:Choice>
  </mc:AlternateContent>
  <xr:revisionPtr revIDLastSave="0" documentId="13_ncr:1_{50CB6617-2AD1-4268-8896-5A74BD4878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BLC. 2026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8" i="36" l="1"/>
  <c r="S17" i="36"/>
  <c r="S16" i="36"/>
  <c r="S15" i="36"/>
  <c r="S14" i="36"/>
  <c r="S13" i="36"/>
  <c r="R18" i="36"/>
  <c r="R17" i="36"/>
  <c r="R16" i="36"/>
  <c r="R15" i="36"/>
  <c r="R14" i="36"/>
  <c r="R13" i="36"/>
  <c r="P17" i="36"/>
  <c r="P18" i="36"/>
  <c r="P16" i="36"/>
  <c r="P15" i="36"/>
  <c r="P14" i="36"/>
  <c r="P13" i="36"/>
  <c r="O18" i="36"/>
  <c r="O17" i="36"/>
  <c r="O16" i="36"/>
  <c r="O15" i="36"/>
  <c r="O14" i="36"/>
  <c r="O13" i="36"/>
  <c r="N18" i="36" l="1"/>
  <c r="M18" i="36"/>
  <c r="L18" i="36"/>
  <c r="K18" i="36"/>
  <c r="J18" i="36"/>
  <c r="I18" i="36"/>
  <c r="G18" i="36"/>
  <c r="F18" i="36"/>
  <c r="E18" i="36"/>
  <c r="D18" i="36"/>
  <c r="C18" i="36"/>
  <c r="N17" i="36"/>
  <c r="M17" i="36"/>
  <c r="L17" i="36"/>
  <c r="K17" i="36"/>
  <c r="J17" i="36"/>
  <c r="I17" i="36"/>
  <c r="G17" i="36"/>
  <c r="F17" i="36"/>
  <c r="E17" i="36"/>
  <c r="D17" i="36"/>
  <c r="C17" i="36"/>
  <c r="N16" i="36"/>
  <c r="M16" i="36"/>
  <c r="L16" i="36"/>
  <c r="K16" i="36"/>
  <c r="J16" i="36"/>
  <c r="I16" i="36"/>
  <c r="G16" i="36"/>
  <c r="F16" i="36"/>
  <c r="E16" i="36"/>
  <c r="D16" i="36"/>
  <c r="C16" i="36"/>
  <c r="N15" i="36"/>
  <c r="M15" i="36"/>
  <c r="L15" i="36"/>
  <c r="K15" i="36"/>
  <c r="J15" i="36"/>
  <c r="I15" i="36"/>
  <c r="G15" i="36"/>
  <c r="F15" i="36"/>
  <c r="E15" i="36"/>
  <c r="D15" i="36"/>
  <c r="C15" i="36"/>
  <c r="N14" i="36"/>
  <c r="M14" i="36"/>
  <c r="L14" i="36"/>
  <c r="K14" i="36"/>
  <c r="J14" i="36"/>
  <c r="I14" i="36"/>
  <c r="G14" i="36"/>
  <c r="F14" i="36"/>
  <c r="E14" i="36"/>
  <c r="D14" i="36"/>
  <c r="C14" i="36"/>
  <c r="N13" i="36"/>
  <c r="M13" i="36"/>
  <c r="L13" i="36"/>
  <c r="K13" i="36"/>
  <c r="J13" i="36"/>
  <c r="I13" i="36"/>
  <c r="G13" i="36"/>
  <c r="F13" i="36"/>
  <c r="E13" i="36"/>
  <c r="D13" i="36"/>
  <c r="C13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H7" i="36"/>
  <c r="G7" i="36"/>
  <c r="F7" i="36"/>
  <c r="E7" i="36"/>
  <c r="D7" i="36"/>
  <c r="C7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H6" i="36"/>
  <c r="G6" i="36"/>
  <c r="F6" i="36"/>
  <c r="E6" i="36"/>
  <c r="D6" i="36"/>
  <c r="C6" i="36"/>
  <c r="U5" i="36"/>
  <c r="T5" i="36"/>
  <c r="S5" i="36"/>
  <c r="R5" i="36"/>
  <c r="Q5" i="36"/>
  <c r="P5" i="36"/>
  <c r="O5" i="36"/>
  <c r="N5" i="36"/>
  <c r="M5" i="36"/>
  <c r="L5" i="36"/>
  <c r="K5" i="36"/>
  <c r="J5" i="36"/>
  <c r="I5" i="36"/>
  <c r="H5" i="36"/>
  <c r="G5" i="36"/>
  <c r="F5" i="36"/>
  <c r="E5" i="36"/>
  <c r="D5" i="36"/>
  <c r="C5" i="36"/>
  <c r="U4" i="36"/>
  <c r="T4" i="36"/>
  <c r="S4" i="36"/>
  <c r="R4" i="36"/>
  <c r="Q4" i="36"/>
  <c r="P4" i="36"/>
  <c r="O4" i="36"/>
  <c r="N4" i="36"/>
  <c r="M4" i="36"/>
  <c r="L4" i="36"/>
  <c r="K4" i="36"/>
  <c r="J4" i="36"/>
  <c r="I4" i="36"/>
  <c r="H4" i="36"/>
  <c r="G4" i="36"/>
  <c r="F4" i="36"/>
  <c r="E4" i="36"/>
  <c r="D4" i="36"/>
  <c r="C4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Luffi</author>
  </authors>
  <commentList>
    <comment ref="H12" authorId="0" shapeId="0" xr:uid="{7778AE7B-2904-415D-B7E6-D4052FC499F2}">
      <text>
        <r>
          <rPr>
            <b/>
            <sz val="9"/>
            <color indexed="81"/>
            <rFont val="Tahoma"/>
            <family val="2"/>
          </rPr>
          <t>Luffi: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<sst xmlns="http://schemas.openxmlformats.org/spreadsheetml/2006/main" count="51" uniqueCount="43">
  <si>
    <t>4 AÑOS</t>
  </si>
  <si>
    <t>ESTABLECIMIENTOS</t>
  </si>
  <si>
    <t>POBLACION TOTAL</t>
  </si>
  <si>
    <t>MENOR DE  1 AÑO</t>
  </si>
  <si>
    <t>1 AÑOS</t>
  </si>
  <si>
    <t>2  AÑOS</t>
  </si>
  <si>
    <t>3 AÑOS</t>
  </si>
  <si>
    <t>1 A 4 AÑOS</t>
  </si>
  <si>
    <t>MENOR 5 AÑOS</t>
  </si>
  <si>
    <t>MAYOR 5 AÑOS</t>
  </si>
  <si>
    <t>MENOR DE 2 AÑOS</t>
  </si>
  <si>
    <t>2 A 3 AÑOS</t>
  </si>
  <si>
    <t xml:space="preserve">2 A 4 AÑOS </t>
  </si>
  <si>
    <t>5 A 9 AÑOS</t>
  </si>
  <si>
    <t xml:space="preserve">10 A 14 AÑOS </t>
  </si>
  <si>
    <t>15 A 19 AÑOS</t>
  </si>
  <si>
    <t>20 A 39 AÑOS</t>
  </si>
  <si>
    <t>40 A 49 AÑOS</t>
  </si>
  <si>
    <t>50 A 59 AÑOS</t>
  </si>
  <si>
    <t>MAYOR DE 60 AÑOS</t>
  </si>
  <si>
    <t>EMBARAZOS ESPERADOS</t>
  </si>
  <si>
    <t>PARTOS ESPERADOS</t>
  </si>
  <si>
    <t>NACIMIENTOS ESPERADOS</t>
  </si>
  <si>
    <t>7 A 9 AÑOS</t>
  </si>
  <si>
    <t>HOSP.CAPINOTA 61%</t>
  </si>
  <si>
    <t>C.S. APILLPAMPA 4%</t>
  </si>
  <si>
    <t>C.S. HORNOMA 3%</t>
  </si>
  <si>
    <t>C.S. IRPA IRPA 24%</t>
  </si>
  <si>
    <t>5 AÑOS</t>
  </si>
  <si>
    <t>6 AÑOS</t>
  </si>
  <si>
    <t>MUJERES MENOR DE 20 AÑOS</t>
  </si>
  <si>
    <t>C.S. MOLLINI 3%</t>
  </si>
  <si>
    <t>C.S. CHARAMOCO 5%</t>
  </si>
  <si>
    <t>NIÑAS DE 10 AÑOS</t>
  </si>
  <si>
    <t>MEF                      15-49 AÑOS</t>
  </si>
  <si>
    <t xml:space="preserve">TOTAL MUNICIPIO </t>
  </si>
  <si>
    <t>ELABORADO : Anibar Ancieta Siacara</t>
  </si>
  <si>
    <t>POBLACION GRUPO ETAREO MUNICIPIO DE CAPINOTA GESTION 2023</t>
  </si>
  <si>
    <t>7 A 49 AÑOS                          M       F</t>
  </si>
  <si>
    <t xml:space="preserve"> ADOLESCENTES 10-19 AÑOS</t>
  </si>
  <si>
    <t xml:space="preserve">DT DE 7 A 49 AÑOS * 5%.                                                M                     F </t>
  </si>
  <si>
    <t xml:space="preserve">DT DE 7 A 49 AÑOS            * 20%.                                                M                     F </t>
  </si>
  <si>
    <t>RESP. ESTADISTICA MUNICIPIO DE CAPINOTA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</si>
</sst>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b/>
      <sz val="14"/>
      <color theme="2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b/>
      <sz val="8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sz val="10"/>
      <name val="Cambria"/>
      <family val="1"/>
      <scheme val="major"/>
    </font>
    <font>
      <b/>
      <sz val="9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0" xfId="0" applyFont="1" applyFill="1"/>
    <xf numFmtId="0" fontId="5" fillId="0" borderId="0" xfId="0" applyFont="1"/>
    <xf numFmtId="0" fontId="9" fillId="0" borderId="1" xfId="0" applyFont="1" applyBorder="1"/>
    <xf numFmtId="1" fontId="10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/>
    <xf numFmtId="1" fontId="10" fillId="2" borderId="1" xfId="0" applyNumberFormat="1" applyFont="1" applyFill="1" applyBorder="1" applyAlignment="1">
      <alignment horizontal="center" vertical="center"/>
    </xf>
    <xf numFmtId="0" fontId="11" fillId="0" borderId="1" xfId="0" applyFont="1" applyBorder="1"/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8" fillId="3" borderId="1" xfId="0" applyFont="1" applyFill="1" applyBorder="1" applyAlignment="1">
      <alignment vertical="center" wrapText="1"/>
    </xf>
    <xf numFmtId="0" fontId="14" fillId="2" borderId="0" xfId="0" applyFont="1" applyFill="1"/>
    <xf numFmtId="1" fontId="10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" fontId="1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3629-0D79-46ED-B82E-CCEDB6CF689C}">
  <sheetPr>
    <pageSetUpPr fitToPage="1"/>
  </sheetPr>
  <dimension ref="B1:Z24"/>
  <sheetViews>
    <sheetView tabSelected="1" workbookViewId="0">
      <selection activeCell="D12" sqref="D12"/>
    </sheetView>
  </sheetViews>
  <sheetFormatPr baseColWidth="10" defaultRowHeight="14.4" x14ac:dyDescent="0.3"/>
  <cols>
    <col min="1" max="1" width="6.109375" customWidth="1"/>
    <col min="2" max="2" width="21.33203125" customWidth="1"/>
    <col min="3" max="3" width="11.88671875" customWidth="1"/>
    <col min="4" max="6" width="8.6640625" customWidth="1"/>
    <col min="7" max="7" width="12.6640625" customWidth="1"/>
    <col min="8" max="8" width="8.6640625" customWidth="1"/>
    <col min="9" max="9" width="12.6640625" customWidth="1"/>
    <col min="10" max="22" width="8.6640625" customWidth="1"/>
  </cols>
  <sheetData>
    <row r="1" spans="2:26" ht="33" customHeight="1" x14ac:dyDescent="0.3">
      <c r="B1" s="28" t="s">
        <v>37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2:26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2:26" ht="45" customHeight="1" x14ac:dyDescent="0.3">
      <c r="B3" s="12" t="s">
        <v>1</v>
      </c>
      <c r="C3" s="13" t="s">
        <v>2</v>
      </c>
      <c r="D3" s="19" t="s">
        <v>3</v>
      </c>
      <c r="E3" s="13" t="s">
        <v>4</v>
      </c>
      <c r="F3" s="13" t="s">
        <v>5</v>
      </c>
      <c r="G3" s="13" t="s">
        <v>6</v>
      </c>
      <c r="H3" s="13" t="s">
        <v>0</v>
      </c>
      <c r="I3" s="13" t="s">
        <v>7</v>
      </c>
      <c r="J3" s="13" t="s">
        <v>28</v>
      </c>
      <c r="K3" s="13" t="s">
        <v>29</v>
      </c>
      <c r="L3" s="19" t="s">
        <v>8</v>
      </c>
      <c r="M3" s="19" t="s">
        <v>9</v>
      </c>
      <c r="N3" s="19" t="s">
        <v>10</v>
      </c>
      <c r="O3" s="19" t="s">
        <v>11</v>
      </c>
      <c r="P3" s="19" t="s">
        <v>12</v>
      </c>
      <c r="Q3" s="19" t="s">
        <v>13</v>
      </c>
      <c r="R3" s="19" t="s">
        <v>23</v>
      </c>
      <c r="S3" s="13" t="s">
        <v>33</v>
      </c>
      <c r="T3" s="19" t="s">
        <v>14</v>
      </c>
      <c r="U3" s="19" t="s">
        <v>15</v>
      </c>
    </row>
    <row r="4" spans="2:26" ht="20.25" customHeight="1" x14ac:dyDescent="0.3">
      <c r="B4" s="3" t="s">
        <v>24</v>
      </c>
      <c r="C4" s="4">
        <f t="shared" ref="C4:U4" si="0">C10*61%</f>
        <v>13024.11</v>
      </c>
      <c r="D4" s="4">
        <f t="shared" si="0"/>
        <v>247.04999999999998</v>
      </c>
      <c r="E4" s="4">
        <f t="shared" si="0"/>
        <v>248.26999999999998</v>
      </c>
      <c r="F4" s="4">
        <f t="shared" si="0"/>
        <v>254.37</v>
      </c>
      <c r="G4" s="4">
        <f t="shared" si="0"/>
        <v>255.59</v>
      </c>
      <c r="H4" s="4">
        <f t="shared" si="0"/>
        <v>257.42</v>
      </c>
      <c r="I4" s="4">
        <f t="shared" si="0"/>
        <v>1015.65</v>
      </c>
      <c r="J4" s="4">
        <f t="shared" si="0"/>
        <v>264.74</v>
      </c>
      <c r="K4" s="4">
        <f t="shared" si="0"/>
        <v>274.5</v>
      </c>
      <c r="L4" s="4">
        <f t="shared" si="0"/>
        <v>1262.7</v>
      </c>
      <c r="M4" s="4">
        <f t="shared" si="0"/>
        <v>11761.41</v>
      </c>
      <c r="N4" s="4">
        <f t="shared" si="0"/>
        <v>495.32</v>
      </c>
      <c r="O4" s="4">
        <f t="shared" si="0"/>
        <v>509.96</v>
      </c>
      <c r="P4" s="4">
        <f t="shared" si="0"/>
        <v>767.38</v>
      </c>
      <c r="Q4" s="4">
        <f t="shared" si="0"/>
        <v>1367.01</v>
      </c>
      <c r="R4" s="4">
        <f t="shared" si="0"/>
        <v>827.77</v>
      </c>
      <c r="S4" s="4">
        <f t="shared" si="0"/>
        <v>132.37</v>
      </c>
      <c r="T4" s="4">
        <f t="shared" si="0"/>
        <v>1348.1</v>
      </c>
      <c r="U4" s="4">
        <f t="shared" si="0"/>
        <v>1337.73</v>
      </c>
    </row>
    <row r="5" spans="2:26" ht="20.25" customHeight="1" x14ac:dyDescent="0.3">
      <c r="B5" s="5" t="s">
        <v>25</v>
      </c>
      <c r="C5" s="6">
        <f t="shared" ref="C5:U5" si="1">C10*4%</f>
        <v>854.04</v>
      </c>
      <c r="D5" s="6">
        <f t="shared" si="1"/>
        <v>16.2</v>
      </c>
      <c r="E5" s="6">
        <f t="shared" si="1"/>
        <v>16.28</v>
      </c>
      <c r="F5" s="6">
        <f t="shared" si="1"/>
        <v>16.68</v>
      </c>
      <c r="G5" s="6">
        <f t="shared" si="1"/>
        <v>16.760000000000002</v>
      </c>
      <c r="H5" s="6">
        <f t="shared" si="1"/>
        <v>16.88</v>
      </c>
      <c r="I5" s="6">
        <f t="shared" si="1"/>
        <v>66.599999999999994</v>
      </c>
      <c r="J5" s="6">
        <f t="shared" si="1"/>
        <v>17.36</v>
      </c>
      <c r="K5" s="6">
        <f t="shared" si="1"/>
        <v>18</v>
      </c>
      <c r="L5" s="6">
        <f t="shared" si="1"/>
        <v>82.8</v>
      </c>
      <c r="M5" s="6">
        <f t="shared" si="1"/>
        <v>771.24</v>
      </c>
      <c r="N5" s="6">
        <f t="shared" si="1"/>
        <v>32.480000000000004</v>
      </c>
      <c r="O5" s="6">
        <f t="shared" si="1"/>
        <v>33.44</v>
      </c>
      <c r="P5" s="6">
        <f t="shared" si="1"/>
        <v>50.32</v>
      </c>
      <c r="Q5" s="6">
        <f t="shared" si="1"/>
        <v>89.64</v>
      </c>
      <c r="R5" s="6">
        <f t="shared" si="1"/>
        <v>54.28</v>
      </c>
      <c r="S5" s="6">
        <f t="shared" si="1"/>
        <v>8.68</v>
      </c>
      <c r="T5" s="6">
        <f t="shared" si="1"/>
        <v>88.4</v>
      </c>
      <c r="U5" s="6">
        <f t="shared" si="1"/>
        <v>87.72</v>
      </c>
    </row>
    <row r="6" spans="2:26" ht="20.25" customHeight="1" x14ac:dyDescent="0.3">
      <c r="B6" s="7" t="s">
        <v>32</v>
      </c>
      <c r="C6" s="4">
        <f>C10*5%</f>
        <v>1067.55</v>
      </c>
      <c r="D6" s="4">
        <f t="shared" ref="D6:U6" si="2">D10*5%</f>
        <v>20.25</v>
      </c>
      <c r="E6" s="4">
        <f t="shared" si="2"/>
        <v>20.350000000000001</v>
      </c>
      <c r="F6" s="4">
        <f t="shared" si="2"/>
        <v>20.85</v>
      </c>
      <c r="G6" s="4">
        <f t="shared" si="2"/>
        <v>20.950000000000003</v>
      </c>
      <c r="H6" s="4">
        <f t="shared" si="2"/>
        <v>21.1</v>
      </c>
      <c r="I6" s="4">
        <f t="shared" si="2"/>
        <v>83.25</v>
      </c>
      <c r="J6" s="4">
        <f t="shared" si="2"/>
        <v>21.700000000000003</v>
      </c>
      <c r="K6" s="4">
        <f t="shared" si="2"/>
        <v>22.5</v>
      </c>
      <c r="L6" s="4">
        <f t="shared" si="2"/>
        <v>103.5</v>
      </c>
      <c r="M6" s="4">
        <f t="shared" si="2"/>
        <v>964.05000000000007</v>
      </c>
      <c r="N6" s="4">
        <f t="shared" si="2"/>
        <v>40.6</v>
      </c>
      <c r="O6" s="4">
        <f t="shared" si="2"/>
        <v>41.800000000000004</v>
      </c>
      <c r="P6" s="4">
        <f t="shared" si="2"/>
        <v>62.900000000000006</v>
      </c>
      <c r="Q6" s="4">
        <f t="shared" si="2"/>
        <v>112.05000000000001</v>
      </c>
      <c r="R6" s="4">
        <f t="shared" si="2"/>
        <v>67.850000000000009</v>
      </c>
      <c r="S6" s="4">
        <f t="shared" si="2"/>
        <v>10.850000000000001</v>
      </c>
      <c r="T6" s="4">
        <f t="shared" si="2"/>
        <v>110.5</v>
      </c>
      <c r="U6" s="4">
        <f t="shared" si="2"/>
        <v>109.65</v>
      </c>
    </row>
    <row r="7" spans="2:26" ht="20.25" customHeight="1" x14ac:dyDescent="0.3">
      <c r="B7" s="5" t="s">
        <v>26</v>
      </c>
      <c r="C7" s="6">
        <f t="shared" ref="C7:U7" si="3">C10*3%</f>
        <v>640.53</v>
      </c>
      <c r="D7" s="6">
        <f t="shared" si="3"/>
        <v>12.15</v>
      </c>
      <c r="E7" s="6">
        <f t="shared" si="3"/>
        <v>12.209999999999999</v>
      </c>
      <c r="F7" s="6">
        <f t="shared" si="3"/>
        <v>12.51</v>
      </c>
      <c r="G7" s="6">
        <f t="shared" si="3"/>
        <v>12.57</v>
      </c>
      <c r="H7" s="6">
        <f t="shared" si="3"/>
        <v>12.66</v>
      </c>
      <c r="I7" s="6">
        <f t="shared" si="3"/>
        <v>49.949999999999996</v>
      </c>
      <c r="J7" s="6">
        <f t="shared" si="3"/>
        <v>13.02</v>
      </c>
      <c r="K7" s="6">
        <f t="shared" si="3"/>
        <v>13.5</v>
      </c>
      <c r="L7" s="6">
        <f t="shared" si="3"/>
        <v>62.099999999999994</v>
      </c>
      <c r="M7" s="6">
        <f t="shared" si="3"/>
        <v>578.42999999999995</v>
      </c>
      <c r="N7" s="6">
        <f t="shared" si="3"/>
        <v>24.36</v>
      </c>
      <c r="O7" s="6">
        <f t="shared" si="3"/>
        <v>25.08</v>
      </c>
      <c r="P7" s="6">
        <f t="shared" si="3"/>
        <v>37.74</v>
      </c>
      <c r="Q7" s="6">
        <f t="shared" si="3"/>
        <v>67.23</v>
      </c>
      <c r="R7" s="6">
        <f t="shared" si="3"/>
        <v>40.71</v>
      </c>
      <c r="S7" s="6">
        <f t="shared" si="3"/>
        <v>6.51</v>
      </c>
      <c r="T7" s="6">
        <f t="shared" si="3"/>
        <v>66.3</v>
      </c>
      <c r="U7" s="6">
        <f t="shared" si="3"/>
        <v>65.789999999999992</v>
      </c>
    </row>
    <row r="8" spans="2:26" ht="20.25" customHeight="1" x14ac:dyDescent="0.3">
      <c r="B8" s="3" t="s">
        <v>27</v>
      </c>
      <c r="C8" s="4">
        <f t="shared" ref="C8:U8" si="4">C10*24%</f>
        <v>5124.24</v>
      </c>
      <c r="D8" s="4">
        <f t="shared" si="4"/>
        <v>97.2</v>
      </c>
      <c r="E8" s="4">
        <f t="shared" si="4"/>
        <v>97.679999999999993</v>
      </c>
      <c r="F8" s="4">
        <f t="shared" si="4"/>
        <v>100.08</v>
      </c>
      <c r="G8" s="4">
        <f t="shared" si="4"/>
        <v>100.56</v>
      </c>
      <c r="H8" s="4">
        <f t="shared" si="4"/>
        <v>101.28</v>
      </c>
      <c r="I8" s="4">
        <f t="shared" si="4"/>
        <v>399.59999999999997</v>
      </c>
      <c r="J8" s="4">
        <f t="shared" si="4"/>
        <v>104.16</v>
      </c>
      <c r="K8" s="4">
        <f t="shared" si="4"/>
        <v>108</v>
      </c>
      <c r="L8" s="4">
        <f t="shared" si="4"/>
        <v>496.79999999999995</v>
      </c>
      <c r="M8" s="4">
        <f t="shared" si="4"/>
        <v>4627.4399999999996</v>
      </c>
      <c r="N8" s="4">
        <f t="shared" si="4"/>
        <v>194.88</v>
      </c>
      <c r="O8" s="4">
        <f t="shared" si="4"/>
        <v>200.64</v>
      </c>
      <c r="P8" s="4">
        <f t="shared" si="4"/>
        <v>301.92</v>
      </c>
      <c r="Q8" s="4">
        <f t="shared" si="4"/>
        <v>537.84</v>
      </c>
      <c r="R8" s="4">
        <f t="shared" si="4"/>
        <v>325.68</v>
      </c>
      <c r="S8" s="4">
        <f t="shared" si="4"/>
        <v>52.08</v>
      </c>
      <c r="T8" s="4">
        <f t="shared" si="4"/>
        <v>530.4</v>
      </c>
      <c r="U8" s="4">
        <f t="shared" si="4"/>
        <v>526.31999999999994</v>
      </c>
    </row>
    <row r="9" spans="2:26" ht="20.25" customHeight="1" x14ac:dyDescent="0.3">
      <c r="B9" s="7" t="s">
        <v>31</v>
      </c>
      <c r="C9" s="4">
        <f>C10*3%</f>
        <v>640.53</v>
      </c>
      <c r="D9" s="4">
        <f t="shared" ref="D9:U9" si="5">D10*3%</f>
        <v>12.15</v>
      </c>
      <c r="E9" s="4">
        <f t="shared" si="5"/>
        <v>12.209999999999999</v>
      </c>
      <c r="F9" s="4">
        <f t="shared" si="5"/>
        <v>12.51</v>
      </c>
      <c r="G9" s="4">
        <f t="shared" si="5"/>
        <v>12.57</v>
      </c>
      <c r="H9" s="4">
        <f t="shared" si="5"/>
        <v>12.66</v>
      </c>
      <c r="I9" s="4">
        <f t="shared" si="5"/>
        <v>49.949999999999996</v>
      </c>
      <c r="J9" s="4">
        <f t="shared" si="5"/>
        <v>13.02</v>
      </c>
      <c r="K9" s="4">
        <f t="shared" si="5"/>
        <v>13.5</v>
      </c>
      <c r="L9" s="4">
        <f t="shared" si="5"/>
        <v>62.099999999999994</v>
      </c>
      <c r="M9" s="4">
        <f t="shared" si="5"/>
        <v>578.42999999999995</v>
      </c>
      <c r="N9" s="4">
        <f t="shared" si="5"/>
        <v>24.36</v>
      </c>
      <c r="O9" s="4">
        <f t="shared" si="5"/>
        <v>25.08</v>
      </c>
      <c r="P9" s="4">
        <f t="shared" si="5"/>
        <v>37.74</v>
      </c>
      <c r="Q9" s="4">
        <f t="shared" si="5"/>
        <v>67.23</v>
      </c>
      <c r="R9" s="4">
        <f t="shared" si="5"/>
        <v>40.71</v>
      </c>
      <c r="S9" s="4">
        <f t="shared" si="5"/>
        <v>6.51</v>
      </c>
      <c r="T9" s="4">
        <f t="shared" si="5"/>
        <v>66.3</v>
      </c>
      <c r="U9" s="4">
        <f t="shared" si="5"/>
        <v>65.789999999999992</v>
      </c>
    </row>
    <row r="10" spans="2:26" ht="21.75" customHeight="1" x14ac:dyDescent="0.3">
      <c r="B10" s="14" t="s">
        <v>35</v>
      </c>
      <c r="C10" s="8">
        <v>21351</v>
      </c>
      <c r="D10" s="8">
        <v>405</v>
      </c>
      <c r="E10" s="8">
        <v>407</v>
      </c>
      <c r="F10" s="8">
        <v>417</v>
      </c>
      <c r="G10" s="8">
        <v>419</v>
      </c>
      <c r="H10" s="8">
        <v>422</v>
      </c>
      <c r="I10" s="8">
        <v>1665</v>
      </c>
      <c r="J10" s="8">
        <v>434</v>
      </c>
      <c r="K10" s="8">
        <v>450</v>
      </c>
      <c r="L10" s="8">
        <v>2070</v>
      </c>
      <c r="M10" s="15">
        <v>19281</v>
      </c>
      <c r="N10" s="8">
        <v>812</v>
      </c>
      <c r="O10" s="8">
        <v>836</v>
      </c>
      <c r="P10" s="8">
        <v>1258</v>
      </c>
      <c r="Q10" s="8">
        <v>2241</v>
      </c>
      <c r="R10" s="8">
        <v>1357</v>
      </c>
      <c r="S10" s="15">
        <v>217</v>
      </c>
      <c r="T10" s="8">
        <v>2210</v>
      </c>
      <c r="U10" s="8">
        <v>2193</v>
      </c>
    </row>
    <row r="11" spans="2:26" x14ac:dyDescent="0.3">
      <c r="B11" s="16"/>
      <c r="C11" s="17"/>
      <c r="D11" s="17"/>
      <c r="E11" s="2"/>
      <c r="F11" s="18"/>
      <c r="G11" s="10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2"/>
      <c r="S11" s="2"/>
      <c r="T11" s="18"/>
      <c r="U11" s="18"/>
    </row>
    <row r="12" spans="2:26" ht="48.75" customHeight="1" x14ac:dyDescent="0.3">
      <c r="B12" s="12" t="s">
        <v>1</v>
      </c>
      <c r="C12" s="13" t="s">
        <v>16</v>
      </c>
      <c r="D12" s="13" t="s">
        <v>17</v>
      </c>
      <c r="E12" s="13" t="s">
        <v>18</v>
      </c>
      <c r="F12" s="13" t="s">
        <v>19</v>
      </c>
      <c r="G12" s="19" t="s">
        <v>20</v>
      </c>
      <c r="H12" s="19" t="s">
        <v>21</v>
      </c>
      <c r="I12" s="19" t="s">
        <v>22</v>
      </c>
      <c r="J12" s="13" t="s">
        <v>39</v>
      </c>
      <c r="K12" s="19" t="s">
        <v>30</v>
      </c>
      <c r="L12" s="25" t="s">
        <v>38</v>
      </c>
      <c r="M12" s="26"/>
      <c r="N12" s="13" t="s">
        <v>34</v>
      </c>
      <c r="O12" s="29" t="s">
        <v>40</v>
      </c>
      <c r="P12" s="29"/>
      <c r="Q12" s="2"/>
      <c r="R12" s="29" t="s">
        <v>41</v>
      </c>
      <c r="S12" s="29"/>
      <c r="T12" s="2"/>
      <c r="U12" s="2"/>
    </row>
    <row r="13" spans="2:26" s="1" customFormat="1" ht="22.5" customHeight="1" x14ac:dyDescent="0.3">
      <c r="B13" s="3" t="s">
        <v>24</v>
      </c>
      <c r="C13" s="4">
        <f t="shared" ref="C13:N13" si="6">C19*61%</f>
        <v>3647.7999999999997</v>
      </c>
      <c r="D13" s="4">
        <f t="shared" si="6"/>
        <v>1271.8499999999999</v>
      </c>
      <c r="E13" s="4">
        <f t="shared" si="6"/>
        <v>997.35</v>
      </c>
      <c r="F13" s="4">
        <f t="shared" si="6"/>
        <v>1791.57</v>
      </c>
      <c r="G13" s="4">
        <f t="shared" si="6"/>
        <v>301.95</v>
      </c>
      <c r="H13" s="4">
        <v>251</v>
      </c>
      <c r="I13" s="4">
        <f t="shared" si="6"/>
        <v>252.54</v>
      </c>
      <c r="J13" s="4">
        <f t="shared" si="6"/>
        <v>2685.83</v>
      </c>
      <c r="K13" s="4">
        <f t="shared" si="6"/>
        <v>2600.4299999999998</v>
      </c>
      <c r="L13" s="4">
        <f t="shared" si="6"/>
        <v>4241.33</v>
      </c>
      <c r="M13" s="4">
        <f t="shared" si="6"/>
        <v>4191.92</v>
      </c>
      <c r="N13" s="4">
        <f t="shared" si="6"/>
        <v>3120.7599999999998</v>
      </c>
      <c r="O13" s="21">
        <f>O19*61%</f>
        <v>212.28</v>
      </c>
      <c r="P13" s="21">
        <f>P19*61%</f>
        <v>209.84</v>
      </c>
      <c r="Q13" s="20"/>
      <c r="R13" s="23">
        <f>R19*61%</f>
        <v>841.18999999999994</v>
      </c>
      <c r="S13" s="23">
        <f>S19*61%</f>
        <v>838.14</v>
      </c>
      <c r="T13" s="20"/>
      <c r="U13" s="20"/>
      <c r="V13" s="20"/>
      <c r="W13" s="20"/>
      <c r="X13" s="20"/>
      <c r="Y13" s="20"/>
      <c r="Z13" s="20"/>
    </row>
    <row r="14" spans="2:26" s="1" customFormat="1" ht="22.5" customHeight="1" x14ac:dyDescent="0.3">
      <c r="B14" s="5" t="s">
        <v>25</v>
      </c>
      <c r="C14" s="6">
        <f t="shared" ref="C14:N14" si="7">C19*4%</f>
        <v>239.20000000000002</v>
      </c>
      <c r="D14" s="6">
        <f t="shared" si="7"/>
        <v>83.4</v>
      </c>
      <c r="E14" s="6">
        <f t="shared" si="7"/>
        <v>65.400000000000006</v>
      </c>
      <c r="F14" s="6">
        <f t="shared" si="7"/>
        <v>117.48</v>
      </c>
      <c r="G14" s="6">
        <f t="shared" si="7"/>
        <v>19.8</v>
      </c>
      <c r="H14" s="6">
        <v>16</v>
      </c>
      <c r="I14" s="6">
        <f t="shared" si="7"/>
        <v>16.559999999999999</v>
      </c>
      <c r="J14" s="6">
        <f t="shared" si="7"/>
        <v>176.12</v>
      </c>
      <c r="K14" s="6">
        <f t="shared" si="7"/>
        <v>170.52</v>
      </c>
      <c r="L14" s="6">
        <f t="shared" si="7"/>
        <v>278.12</v>
      </c>
      <c r="M14" s="6">
        <f t="shared" si="7"/>
        <v>274.88</v>
      </c>
      <c r="N14" s="6">
        <f t="shared" si="7"/>
        <v>204.64000000000001</v>
      </c>
      <c r="O14" s="21">
        <f>O19*4%</f>
        <v>13.92</v>
      </c>
      <c r="P14" s="21">
        <f>P19*4%</f>
        <v>13.76</v>
      </c>
      <c r="Q14" s="20"/>
      <c r="R14" s="23">
        <f>R19*4%</f>
        <v>55.160000000000004</v>
      </c>
      <c r="S14" s="23">
        <f>S19*4%</f>
        <v>54.96</v>
      </c>
      <c r="T14" s="20"/>
      <c r="U14" s="20"/>
      <c r="V14" s="20"/>
      <c r="W14" s="20"/>
      <c r="X14" s="20"/>
      <c r="Y14" s="20"/>
      <c r="Z14" s="20"/>
    </row>
    <row r="15" spans="2:26" s="1" customFormat="1" ht="22.5" customHeight="1" x14ac:dyDescent="0.3">
      <c r="B15" s="7" t="s">
        <v>32</v>
      </c>
      <c r="C15" s="4">
        <f t="shared" ref="C15:N15" si="8">C19*5%</f>
        <v>299</v>
      </c>
      <c r="D15" s="4">
        <f t="shared" si="8"/>
        <v>104.25</v>
      </c>
      <c r="E15" s="4">
        <f t="shared" si="8"/>
        <v>81.75</v>
      </c>
      <c r="F15" s="4">
        <f t="shared" si="8"/>
        <v>146.85</v>
      </c>
      <c r="G15" s="4">
        <f t="shared" si="8"/>
        <v>24.75</v>
      </c>
      <c r="H15" s="4">
        <v>21</v>
      </c>
      <c r="I15" s="4">
        <f t="shared" si="8"/>
        <v>20.700000000000003</v>
      </c>
      <c r="J15" s="4">
        <f t="shared" si="8"/>
        <v>220.15</v>
      </c>
      <c r="K15" s="4">
        <f t="shared" si="8"/>
        <v>213.15</v>
      </c>
      <c r="L15" s="4">
        <f t="shared" si="8"/>
        <v>347.65000000000003</v>
      </c>
      <c r="M15" s="4">
        <f t="shared" si="8"/>
        <v>343.6</v>
      </c>
      <c r="N15" s="4">
        <f t="shared" si="8"/>
        <v>255.8</v>
      </c>
      <c r="O15" s="21">
        <f>O19*5%</f>
        <v>17.400000000000002</v>
      </c>
      <c r="P15" s="21">
        <f>P19*5%</f>
        <v>17.2</v>
      </c>
      <c r="Q15" s="20"/>
      <c r="R15" s="23">
        <f>R19*5%</f>
        <v>68.95</v>
      </c>
      <c r="S15" s="23">
        <f>S19*5%</f>
        <v>68.7</v>
      </c>
      <c r="T15" s="20"/>
      <c r="U15" s="20"/>
      <c r="V15" s="20"/>
      <c r="W15" s="20"/>
      <c r="X15" s="20"/>
      <c r="Y15" s="20"/>
      <c r="Z15" s="20"/>
    </row>
    <row r="16" spans="2:26" s="1" customFormat="1" ht="22.5" customHeight="1" x14ac:dyDescent="0.3">
      <c r="B16" s="5" t="s">
        <v>26</v>
      </c>
      <c r="C16" s="6">
        <f t="shared" ref="C16:N16" si="9">C19*3%</f>
        <v>179.4</v>
      </c>
      <c r="D16" s="6">
        <f t="shared" si="9"/>
        <v>62.55</v>
      </c>
      <c r="E16" s="6">
        <f t="shared" si="9"/>
        <v>49.05</v>
      </c>
      <c r="F16" s="6">
        <f t="shared" si="9"/>
        <v>88.11</v>
      </c>
      <c r="G16" s="6">
        <f t="shared" si="9"/>
        <v>14.85</v>
      </c>
      <c r="H16" s="6">
        <v>12</v>
      </c>
      <c r="I16" s="6">
        <f t="shared" si="9"/>
        <v>12.42</v>
      </c>
      <c r="J16" s="6">
        <f t="shared" si="9"/>
        <v>132.09</v>
      </c>
      <c r="K16" s="6">
        <f t="shared" si="9"/>
        <v>127.89</v>
      </c>
      <c r="L16" s="6">
        <f t="shared" si="9"/>
        <v>208.59</v>
      </c>
      <c r="M16" s="6">
        <f t="shared" si="9"/>
        <v>206.16</v>
      </c>
      <c r="N16" s="6">
        <f t="shared" si="9"/>
        <v>153.47999999999999</v>
      </c>
      <c r="O16" s="21">
        <f>O19*3%</f>
        <v>10.44</v>
      </c>
      <c r="P16" s="21">
        <f>P19*3%</f>
        <v>10.32</v>
      </c>
      <c r="Q16" s="20"/>
      <c r="R16" s="23">
        <f>R19*3%</f>
        <v>41.37</v>
      </c>
      <c r="S16" s="23">
        <f>S19*3%</f>
        <v>41.22</v>
      </c>
      <c r="T16" s="20"/>
      <c r="U16" s="20"/>
      <c r="V16" s="20"/>
      <c r="W16" s="20"/>
      <c r="X16" s="20"/>
      <c r="Y16" s="20"/>
      <c r="Z16" s="20"/>
    </row>
    <row r="17" spans="2:26" s="1" customFormat="1" ht="22.5" customHeight="1" x14ac:dyDescent="0.3">
      <c r="B17" s="3" t="s">
        <v>27</v>
      </c>
      <c r="C17" s="4">
        <f t="shared" ref="C17:N17" si="10">C19*24%</f>
        <v>1435.2</v>
      </c>
      <c r="D17" s="4">
        <f t="shared" si="10"/>
        <v>500.4</v>
      </c>
      <c r="E17" s="4">
        <f t="shared" si="10"/>
        <v>392.4</v>
      </c>
      <c r="F17" s="4">
        <f t="shared" si="10"/>
        <v>704.88</v>
      </c>
      <c r="G17" s="4">
        <f t="shared" si="10"/>
        <v>118.8</v>
      </c>
      <c r="H17" s="4">
        <v>99</v>
      </c>
      <c r="I17" s="4">
        <f t="shared" si="10"/>
        <v>99.36</v>
      </c>
      <c r="J17" s="4">
        <f t="shared" si="10"/>
        <v>1056.72</v>
      </c>
      <c r="K17" s="4">
        <f t="shared" si="10"/>
        <v>1023.12</v>
      </c>
      <c r="L17" s="4">
        <f t="shared" si="10"/>
        <v>1668.72</v>
      </c>
      <c r="M17" s="4">
        <f t="shared" si="10"/>
        <v>1649.28</v>
      </c>
      <c r="N17" s="4">
        <f t="shared" si="10"/>
        <v>1227.8399999999999</v>
      </c>
      <c r="O17" s="21">
        <f>O19*24%</f>
        <v>83.52</v>
      </c>
      <c r="P17" s="21">
        <f>P19*24%</f>
        <v>82.56</v>
      </c>
      <c r="Q17" s="20"/>
      <c r="R17" s="23">
        <f>R19*24%</f>
        <v>330.96</v>
      </c>
      <c r="S17" s="23">
        <f>S19*24%</f>
        <v>329.76</v>
      </c>
      <c r="T17" s="20"/>
      <c r="U17" s="20"/>
      <c r="V17" s="20"/>
      <c r="W17" s="20"/>
      <c r="X17" s="20"/>
      <c r="Y17" s="20"/>
      <c r="Z17" s="20"/>
    </row>
    <row r="18" spans="2:26" ht="22.5" customHeight="1" x14ac:dyDescent="0.3">
      <c r="B18" s="7" t="s">
        <v>31</v>
      </c>
      <c r="C18" s="4">
        <f t="shared" ref="C18:N18" si="11">C19*3%</f>
        <v>179.4</v>
      </c>
      <c r="D18" s="4">
        <f t="shared" si="11"/>
        <v>62.55</v>
      </c>
      <c r="E18" s="4">
        <f t="shared" si="11"/>
        <v>49.05</v>
      </c>
      <c r="F18" s="4">
        <f t="shared" si="11"/>
        <v>88.11</v>
      </c>
      <c r="G18" s="4">
        <f t="shared" si="11"/>
        <v>14.85</v>
      </c>
      <c r="H18" s="4">
        <v>12</v>
      </c>
      <c r="I18" s="4">
        <f t="shared" si="11"/>
        <v>12.42</v>
      </c>
      <c r="J18" s="4">
        <f t="shared" si="11"/>
        <v>132.09</v>
      </c>
      <c r="K18" s="4">
        <f t="shared" si="11"/>
        <v>127.89</v>
      </c>
      <c r="L18" s="4">
        <f t="shared" si="11"/>
        <v>208.59</v>
      </c>
      <c r="M18" s="4">
        <f t="shared" si="11"/>
        <v>206.16</v>
      </c>
      <c r="N18" s="4">
        <f t="shared" si="11"/>
        <v>153.47999999999999</v>
      </c>
      <c r="O18" s="21">
        <f>O19*3%</f>
        <v>10.44</v>
      </c>
      <c r="P18" s="21">
        <f>P19*3%</f>
        <v>10.32</v>
      </c>
      <c r="Q18" s="2"/>
      <c r="R18" s="24">
        <f>R19*3%</f>
        <v>41.37</v>
      </c>
      <c r="S18" s="24">
        <f>S19*3%</f>
        <v>41.22</v>
      </c>
      <c r="T18" s="2"/>
      <c r="U18" s="2"/>
    </row>
    <row r="19" spans="2:26" ht="24" customHeight="1" x14ac:dyDescent="0.3">
      <c r="B19" s="14" t="s">
        <v>35</v>
      </c>
      <c r="C19" s="8">
        <v>5980</v>
      </c>
      <c r="D19" s="8">
        <v>2085</v>
      </c>
      <c r="E19" s="8">
        <v>1635</v>
      </c>
      <c r="F19" s="8">
        <v>2937</v>
      </c>
      <c r="G19" s="8">
        <v>495</v>
      </c>
      <c r="H19" s="8">
        <v>411</v>
      </c>
      <c r="I19" s="8">
        <v>414</v>
      </c>
      <c r="J19" s="8">
        <v>4403</v>
      </c>
      <c r="K19" s="8">
        <v>4263</v>
      </c>
      <c r="L19" s="15">
        <v>6953</v>
      </c>
      <c r="M19" s="15">
        <v>6872</v>
      </c>
      <c r="N19" s="8">
        <v>5116</v>
      </c>
      <c r="O19" s="9">
        <v>348</v>
      </c>
      <c r="P19" s="22">
        <v>344</v>
      </c>
      <c r="Q19" s="2"/>
      <c r="R19" s="22">
        <v>1379</v>
      </c>
      <c r="S19" s="22">
        <v>1374</v>
      </c>
      <c r="T19" s="2"/>
      <c r="U19" s="2"/>
    </row>
    <row r="20" spans="2:26" x14ac:dyDescent="0.3">
      <c r="B20" s="10"/>
      <c r="C20" s="10"/>
      <c r="D20" s="10"/>
      <c r="E20" s="10"/>
      <c r="F20" s="2"/>
      <c r="G20" s="2"/>
      <c r="H20" s="2"/>
      <c r="I20" s="2"/>
      <c r="J20" s="2"/>
      <c r="K20" s="2"/>
      <c r="L20" s="2"/>
      <c r="M20" s="2"/>
      <c r="N20" s="2"/>
      <c r="O20" s="2"/>
      <c r="P20" s="27"/>
      <c r="Q20" s="27"/>
      <c r="R20" s="2"/>
      <c r="S20" s="2"/>
      <c r="T20" s="2"/>
      <c r="U20" s="2"/>
    </row>
    <row r="21" spans="2:26" x14ac:dyDescent="0.3">
      <c r="B21" s="11"/>
      <c r="C21" s="11"/>
      <c r="D21" s="10"/>
      <c r="E21" s="1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2:26" x14ac:dyDescent="0.3">
      <c r="B22" s="10" t="s">
        <v>36</v>
      </c>
      <c r="C22" s="10"/>
      <c r="D22" s="10"/>
      <c r="E22" s="1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2:26" x14ac:dyDescent="0.3">
      <c r="B23" s="11" t="s">
        <v>42</v>
      </c>
      <c r="C23" s="11"/>
      <c r="D23" s="10"/>
      <c r="E23" s="1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2:26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</sheetData>
  <mergeCells count="5">
    <mergeCell ref="L12:M12"/>
    <mergeCell ref="P20:Q20"/>
    <mergeCell ref="B1:U1"/>
    <mergeCell ref="O12:P12"/>
    <mergeCell ref="R12:S12"/>
  </mergeCells>
  <pageMargins left="0.70866141732283472" right="0.70866141732283472" top="0.74803149606299213" bottom="0.74803149606299213" header="0.31496062992125984" footer="0.31496062992125984"/>
  <pageSetup paperSize="9" scale="51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POBLC.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redCapinota</dc:creator>
  <cp:lastModifiedBy>voces</cp:lastModifiedBy>
  <cp:lastPrinted>2023-09-11T19:48:24Z</cp:lastPrinted>
  <dcterms:created xsi:type="dcterms:W3CDTF">2009-03-26T15:49:31Z</dcterms:created>
  <dcterms:modified xsi:type="dcterms:W3CDTF">2026-02-24T18:36:33Z</dcterms:modified>
</cp:coreProperties>
</file>